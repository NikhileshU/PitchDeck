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ssue Register" sheetId="1" state="visible" r:id="rId3"/>
    <sheet name="Summary" sheetId="2" state="visible" r:id="rId4"/>
  </sheets>
  <definedNames>
    <definedName function="false" hidden="true" localSheetId="0" name="_xlnm._FilterDatabase" vbProcedure="false">'Issue Register'!$A$4:$J$60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<sst xmlns="http://schemas.openxmlformats.org/spreadsheetml/2006/main" count="542" uniqueCount="220">
  <si>
    <t xml:space="preserve">PitchDeck - Code Review Issue Register</t>
  </si>
  <si>
    <t xml:space="preserve">Repo: github.com/NikhileshU/PitchDeck  |  6 review rounds, 43062a6 -&gt; da764c2 (phase-6-report)  |  Updated 12 Aug 2026. Severity and status as assessed by the reviewer.</t>
  </si>
  <si>
    <t xml:space="preserve">ID</t>
  </si>
  <si>
    <t xml:space="preserve">Round</t>
  </si>
  <si>
    <t xml:space="preserve">Commit reviewed</t>
  </si>
  <si>
    <t xml:space="preserve">File</t>
  </si>
  <si>
    <t xml:space="preserve">Location</t>
  </si>
  <si>
    <t xml:space="preserve">Severity</t>
  </si>
  <si>
    <t xml:space="preserve">Category</t>
  </si>
  <si>
    <t xml:space="preserve">Issue</t>
  </si>
  <si>
    <t xml:space="preserve">Status</t>
  </si>
  <si>
    <t xml:space="preserve">Closed in</t>
  </si>
  <si>
    <t xml:space="preserve">R1-C1</t>
  </si>
  <si>
    <t xml:space="preserve">43062a6</t>
  </si>
  <si>
    <t xml:space="preserve">render_html.py</t>
  </si>
  <si>
    <t xml:space="preserve">_chart_bar / _vmax (114-117)</t>
  </si>
  <si>
    <t xml:space="preserve">Critical</t>
  </si>
  <si>
    <t xml:space="preserve">Correctness</t>
  </si>
  <si>
    <t xml:space="preserve">Negative bar values silently dropped. Probe values=[-5,10] emitted 1 path, expected 2.</t>
  </si>
  <si>
    <t xml:space="preserve">Fixed</t>
  </si>
  <si>
    <t xml:space="preserve">4abca60</t>
  </si>
  <si>
    <t xml:space="preserve">R1-C2</t>
  </si>
  <si>
    <t xml:space="preserve">_chart_line (154-165)</t>
  </si>
  <si>
    <t xml:space="preserve">Single negative line point plotted off-canvas: cy=569.6 in a viewBox of height 320.</t>
  </si>
  <si>
    <t xml:space="preserve">R1-C3</t>
  </si>
  <si>
    <t xml:space="preserve">themes/base.css</t>
  </si>
  <si>
    <t xml:space="preserve">.card (~48)</t>
  </si>
  <si>
    <t xml:space="preserve">overflow:hidden clips, contradicting card-schema.md section 5 'do not clip'; no type ramp implemented.</t>
  </si>
  <si>
    <t xml:space="preserve">R1-C4</t>
  </si>
  <si>
    <t xml:space="preserve">export_pdf.py</t>
  </si>
  <si>
    <t xml:space="preserve">export (52)</t>
  </si>
  <si>
    <t xml:space="preserve">Stale-PDF false pass: output never unlinked, so a previous run's PDF satisfies both the size and %PDF- checks.</t>
  </si>
  <si>
    <t xml:space="preserve">R1-H5</t>
  </si>
  <si>
    <t xml:space="preserve">main (343-344)</t>
  </si>
  <si>
    <t xml:space="preserve">High</t>
  </si>
  <si>
    <t xml:space="preserve">Missing base.css fails open - renders an unstyled deck and exits 0.</t>
  </si>
  <si>
    <t xml:space="preserve">R1-H6</t>
  </si>
  <si>
    <t xml:space="preserve">_resolve_images (325-331)</t>
  </si>
  <si>
    <t xml:space="preserve">'Self-contained HTML' claim false: src rewritten to absolute local paths, breaks off-machine.</t>
  </si>
  <si>
    <t xml:space="preserve">R1-S1</t>
  </si>
  <si>
    <t xml:space="preserve">_chart_svg (101,105)</t>
  </si>
  <si>
    <t xml:space="preserve">Suggestion</t>
  </si>
  <si>
    <t xml:space="preserve">Bare tracebacks on bad IR: ZeroDivisionError on empty values, KeyError on unknown block/chart type.</t>
  </si>
  <si>
    <t xml:space="preserve">R1-S2</t>
  </si>
  <si>
    <t xml:space="preserve">_chart_pie (186-188)</t>
  </si>
  <si>
    <t xml:space="preserve">Pie silently uses series[0] and discards the rest; IndexError on empty series; negatives produce nonsense arcs.</t>
  </si>
  <si>
    <t xml:space="preserve">R1-S3</t>
  </si>
  <si>
    <t xml:space="preserve">Mutates the loaded IR in place; corrupting if deck.json is ever re-serialised.</t>
  </si>
  <si>
    <t xml:space="preserve">R1-S4</t>
  </si>
  <si>
    <t xml:space="preserve">_legend / _chart_hbar (69-77,128,144)</t>
  </si>
  <si>
    <t xml:space="preserve">Text overflow unhandled: legend has no wrap or width cap; long hbar category labels run off the left edge.</t>
  </si>
  <si>
    <t xml:space="preserve">8d313de</t>
  </si>
  <si>
    <t xml:space="preserve">R1-S5</t>
  </si>
  <si>
    <t xml:space="preserve">_chart_hbar (144)</t>
  </si>
  <si>
    <t xml:space="preserve">Style</t>
  </si>
  <si>
    <t xml:space="preserve">hbar labels every bar unconditionally while bar applies a label_all = m*n &lt;= 8 density guard.</t>
  </si>
  <si>
    <t xml:space="preserve">Open</t>
  </si>
  <si>
    <t xml:space="preserve">R1-S6</t>
  </si>
  <si>
    <t xml:space="preserve">export (43-51)</t>
  </si>
  <si>
    <t xml:space="preserve">No virtual-time budget or compositor flag; find_browser uses .exists() rather than os.access(X_OK).</t>
  </si>
  <si>
    <t xml:space="preserve">R1-S7</t>
  </si>
  <si>
    <t xml:space="preserve">export (51-54)</t>
  </si>
  <si>
    <t xml:space="preserve">Non-zero browser exit surfaced only when the file check fails.</t>
  </si>
  <si>
    <t xml:space="preserve">R1-S8</t>
  </si>
  <si>
    <t xml:space="preserve">_css_vars (37-60)</t>
  </si>
  <si>
    <t xml:space="preserve">Security</t>
  </si>
  <si>
    <t xml:space="preserve">Theme values interpolated into &lt;style&gt; unescaped; a crafted value could break out of the block.</t>
  </si>
  <si>
    <t xml:space="preserve">R1-S9</t>
  </si>
  <si>
    <t xml:space="preserve">_b_callout / _b_image (261,270)</t>
  </si>
  <si>
    <t xml:space="preserve">tone and fit become class names unvalidated; an unknown value renders unstyled with no error.</t>
  </si>
  <si>
    <t xml:space="preserve">R1-S10</t>
  </si>
  <si>
    <t xml:space="preserve">CLAUDE.md</t>
  </si>
  <si>
    <t xml:space="preserve">invariant 3</t>
  </si>
  <si>
    <t xml:space="preserve">Maintainability</t>
  </si>
  <si>
    <t xml:space="preserve">render() signature deviates from the documented 3-arg contract (css kwarg undocumented).</t>
  </si>
  <si>
    <t xml:space="preserve">R1-S11</t>
  </si>
  <si>
    <t xml:space="preserve">evals/</t>
  </si>
  <si>
    <t xml:space="preserve">-</t>
  </si>
  <si>
    <t xml:space="preserve">Test coverage</t>
  </si>
  <si>
    <t xml:space="preserve">No tests and no golden outputs at phase 4; phases 5, 6 and 9 would be written against unpinned output.</t>
  </si>
  <si>
    <t xml:space="preserve">2eb086e</t>
  </si>
  <si>
    <t xml:space="preserve">R2-H1</t>
  </si>
  <si>
    <t xml:space="preserve">_cssv (~30)</t>
  </si>
  <si>
    <t xml:space="preserve">Denylist hole: url(http://...) and 'red; --color-text: red' both allowed, enabling a remote fetch during PDF export.</t>
  </si>
  <si>
    <t xml:space="preserve">R2-H2</t>
  </si>
  <si>
    <t xml:space="preserve">.claude/settings.local.json + CLAUDE.md</t>
  </si>
  <si>
    <t xml:space="preserve">whole file</t>
  </si>
  <si>
    <t xml:space="preserve">Unrelated tooling config committed to a public repo; 84-line dgc-policy block contradicts invariant 10 and leaks local paths.</t>
  </si>
  <si>
    <t xml:space="preserve">R2-H3</t>
  </si>
  <si>
    <t xml:space="preserve">base.css / export_pdf.py</t>
  </si>
  <si>
    <t xml:space="preserve">PDF still clips silently: @page fixed at 1280x720px with no cards==pages assertion.</t>
  </si>
  <si>
    <t xml:space="preserve">R2-S1</t>
  </si>
  <si>
    <t xml:space="preserve">_legend</t>
  </si>
  <si>
    <t xml:space="preserve">_trunc(name,18) reduces but does not bound legend width; no cumulative width clamp, no series cap.</t>
  </si>
  <si>
    <t xml:space="preserve">R2-S2</t>
  </si>
  <si>
    <t xml:space="preserve">_embed_images</t>
  </si>
  <si>
    <t xml:space="preserve">Performance</t>
  </si>
  <si>
    <t xml:space="preserve">No size guard and no dedup; the same image is base64-encoded once per card.</t>
  </si>
  <si>
    <t xml:space="preserve">R2-S3</t>
  </si>
  <si>
    <t xml:space="preserve">Image resolution diverges for phase 9: python-pptx add_picture needs a path or stream, not a data URI.</t>
  </si>
  <si>
    <t xml:space="preserve">R2-S4</t>
  </si>
  <si>
    <t xml:space="preserve">_block</t>
  </si>
  <si>
    <t xml:space="preserve">Broad except re-labels genuine renderer bugs as IR faults.</t>
  </si>
  <si>
    <t xml:space="preserve">R2-S5</t>
  </si>
  <si>
    <t xml:space="preserve">find_browser (~33)</t>
  </si>
  <si>
    <t xml:space="preserve">import os nested inside the function while all other imports are top-level.</t>
  </si>
  <si>
    <t xml:space="preserve">R2-S6</t>
  </si>
  <si>
    <t xml:space="preserve">export (~44)</t>
  </si>
  <si>
    <t xml:space="preserve">--virtual-time-budget support is patchy in new headless mode; needed verification on Brave.</t>
  </si>
  <si>
    <t xml:space="preserve">Closed - not an issue</t>
  </si>
  <si>
    <t xml:space="preserve">R2-S7</t>
  </si>
  <si>
    <t xml:space="preserve">.gitignore</t>
  </si>
  <si>
    <t xml:space="preserve">Missing __pycache__/, .DS_Store and CONTEXT.md entries.</t>
  </si>
  <si>
    <t xml:space="preserve">R2-S8</t>
  </si>
  <si>
    <t xml:space="preserve">393 of 400 lines with chart geometry still to be shared with render_pptx.py; extraction now urgent.</t>
  </si>
  <si>
    <t xml:space="preserve">R3-C1</t>
  </si>
  <si>
    <t xml:space="preserve">validate.py</t>
  </si>
  <si>
    <t xml:space="preserve">_is_claim (202)</t>
  </si>
  <si>
    <t xml:space="preserve">title-is-claim wrong in both directions at error severity; noun phrases pass on any lemma token, verb-less claims blocked.</t>
  </si>
  <si>
    <t xml:space="preserve">39d155b</t>
  </si>
  <si>
    <t xml:space="preserve">R3-H2</t>
  </si>
  <si>
    <t xml:space="preserve">check_chart_fit (294)</t>
  </si>
  <si>
    <t xml:space="preserve">Fires on standard practice: a four-quarter bar chart warns; _TEMPORAL matches any bare 4-digit string.</t>
  </si>
  <si>
    <t xml:space="preserve">R3-H3</t>
  </si>
  <si>
    <t xml:space="preserve">_lum (311)</t>
  </si>
  <si>
    <t xml:space="preserve">Crashes on any non-hex theme colour; renderer permitted named/functional colours, so the two disagreed on a legal theme.</t>
  </si>
  <si>
    <t xml:space="preserve">R3-H4</t>
  </si>
  <si>
    <t xml:space="preserve">main (426)</t>
  </si>
  <si>
    <t xml:space="preserve">A PASS did not mean the deck renders: image src existence unchecked, so a missing file died later in _embed_images.</t>
  </si>
  <si>
    <t xml:space="preserve">R3-S1</t>
  </si>
  <si>
    <t xml:space="preserve">check_schema (153-160)</t>
  </si>
  <si>
    <t xml:space="preserve">ids[cid] inserted even when cid is None, producing a spurious 'duplicate id None'.</t>
  </si>
  <si>
    <t xml:space="preserve">R3-S2</t>
  </si>
  <si>
    <t xml:space="preserve">main (426-427)</t>
  </si>
  <si>
    <t xml:space="preserve">Malformed deck.json produced a raw JSONDecodeError traceback.</t>
  </si>
  <si>
    <t xml:space="preserve">R3-S3</t>
  </si>
  <si>
    <t xml:space="preserve">_block_h (343)</t>
  </si>
  <si>
    <t xml:space="preserve">Overflow estimator constants uncalibrated by measurement while driving an error-severity finding.</t>
  </si>
  <si>
    <t xml:space="preserve">Deferred - phase 8</t>
  </si>
  <si>
    <t xml:space="preserve">R3-S4</t>
  </si>
  <si>
    <t xml:space="preserve">check_evidence (260)</t>
  </si>
  <si>
    <t xml:space="preserve">A divider counted as evidence.</t>
  </si>
  <si>
    <t xml:space="preserve">R3-S5</t>
  </si>
  <si>
    <t xml:space="preserve">main (422)</t>
  </si>
  <si>
    <t xml:space="preserve">--passes parsed and written into findings.json but consumed by nothing.</t>
  </si>
  <si>
    <t xml:space="preserve">Deferred - phase 6</t>
  </si>
  <si>
    <t xml:space="preserve">R3-S6</t>
  </si>
  <si>
    <t xml:space="preserve">check_contrast (324)</t>
  </si>
  <si>
    <t xml:space="preserve">Only four fg/bg pairs checked; accent and the five series colours unchecked.</t>
  </si>
  <si>
    <t xml:space="preserve">R4-C1</t>
  </si>
  <si>
    <t xml:space="preserve">_is_claim (226)</t>
  </si>
  <si>
    <t xml:space="preserve">Casing heuristic enforced casing, not claim-ness, at error severity; self-defeating - rewards sentence case, in which the noun-phrase detector collapses.</t>
  </si>
  <si>
    <t xml:space="preserve">R4-H2</t>
  </si>
  <si>
    <t xml:space="preserve">export (~55)</t>
  </si>
  <si>
    <t xml:space="preserve">pages != cards cannot detect card overflow, so it does not backstop the estimator as claimed.</t>
  </si>
  <si>
    <t xml:space="preserve">R4-H3</t>
  </si>
  <si>
    <t xml:space="preserve">export (~57)</t>
  </si>
  <si>
    <t xml:space="preserve">Page counting couples the exporter to renderer markup; /Type /Page regex misses compressed object streams, risking a hard wrong failure.</t>
  </si>
  <si>
    <t xml:space="preserve">R4-H4</t>
  </si>
  <si>
    <t xml:space="preserve">IR_DIR (68,486)</t>
  </si>
  <si>
    <t xml:space="preserve">IR_DIR global set only by main(), so the library path silently skipped the image gate that phase 10's harness would exercise.</t>
  </si>
  <si>
    <t xml:space="preserve">R4-M5</t>
  </si>
  <si>
    <t xml:space="preserve">_legend (64)</t>
  </si>
  <si>
    <t xml:space="preserve">Medium</t>
  </si>
  <si>
    <t xml:space="preserve">Two-row cap broke silently: with 12 series four bars rendered with no legend entry.</t>
  </si>
  <si>
    <t xml:space="preserve">R5-M1</t>
  </si>
  <si>
    <t xml:space="preserve">_is_claim</t>
  </si>
  <si>
    <t xml:space="preserve">Four residuals on 30 unseen titles (26/30 correct). False positives: 'Product Launch Timeline', 'Onboarding Funnel Drop Off'. False negatives (block valid decks): 'Latency regressions correlate...', 'Support costs scale...', 'Pricing power sits...'. Open-class lexicon gap.</t>
  </si>
  <si>
    <t xml:space="preserve">R5-M2</t>
  </si>
  <si>
    <t xml:space="preserve">_legend / _ser (64)</t>
  </si>
  <si>
    <t xml:space="preserve">_ser cycles at 5 colours, so the 10 legend entries drawn for a 12-series chart contain duplicate swatches; ambiguity above 5 series is silent.</t>
  </si>
  <si>
    <t xml:space="preserve">R5-L3</t>
  </si>
  <si>
    <t xml:space="preserve">_legend (60)</t>
  </si>
  <si>
    <t xml:space="preserve">Low</t>
  </si>
  <si>
    <t xml:space="preserve">Comment says 'cap at two rows' but the function returns rows=3 for 12 series; behaviour correct, comment stale.</t>
  </si>
  <si>
    <t xml:space="preserve">R5-A1</t>
  </si>
  <si>
    <t xml:space="preserve">BUILD-SPEC.md</t>
  </si>
  <si>
    <t xml:space="preserve">section 10</t>
  </si>
  <si>
    <t xml:space="preserve">Action</t>
  </si>
  <si>
    <t xml:space="preserve">Recommendation: demote title-is-claim to warn and move claim detection to the phase-6 judge as error. Spec-owner call; decide before phase 7 since the playbooks will be written to whatever this check rewards.</t>
  </si>
  <si>
    <t xml:space="preserve">R6-H1</t>
  </si>
  <si>
    <t xml:space="preserve">da764c2</t>
  </si>
  <si>
    <t xml:space="preserve">report.py</t>
  </si>
  <si>
    <t xml:space="preserve">_scores (34-41) / report_md (136-140)</t>
  </si>
  <si>
    <t xml:space="preserve">No score-range validation on LLM output: a judge returning storyline=9 yields 'Mean 5.0 / 5' - a mean above the maximum, printed without comment. Section 11 defines a 1-5 scale.</t>
  </si>
  <si>
    <t xml:space="preserve">R6-H2</t>
  </si>
  <si>
    <t xml:space="preserve">_scores (36-37)</t>
  </si>
  <si>
    <t xml:space="preserve">A missing dimension is silently absent: four of five dimensions gave 'Mean 4.0 / 5, lowest 4 - PASS' with no sign density was never scored. Shrinking the denominator rewards a judge that omits its worst dimension.</t>
  </si>
  <si>
    <t xml:space="preserve">R6-M3</t>
  </si>
  <si>
    <t xml:space="preserve">_scores (38-40)</t>
  </si>
  <si>
    <t xml:space="preserve">Unknown dimensions are averaged into the section 11 gate: an invented 'newDim: 1' shifted the mean and became the reported 'lowest'.</t>
  </si>
  <si>
    <t xml:space="preserve">R6-M4</t>
  </si>
  <si>
    <t xml:space="preserve">inline_summary (69)</t>
  </si>
  <si>
    <t xml:space="preserve">Kind extraction parses prose - PLURAL[message.split(' ')[0]] - so it works only for validate.py's current wording; 'placeholder data used in a chart' degraded to 'values on c4'. Read block type from the finding instead.</t>
  </si>
  <si>
    <t xml:space="preserve">R6-M5</t>
  </si>
  <si>
    <t xml:space="preserve">inline_summary (70-72)</t>
  </si>
  <si>
    <t xml:space="preserve">A card-less unverified finding renders 'tables on  use placeholder data' - double space, dangling preposition.</t>
  </si>
  <si>
    <t xml:space="preserve">R6-M6</t>
  </si>
  <si>
    <t xml:space="preserve">report_md (135)</t>
  </si>
  <si>
    <t xml:space="preserve">Judge notes interpolated into the markdown table unescaped: a note containing a pipe splits the row into extra columns (verified).</t>
  </si>
  <si>
    <t xml:space="preserve">R6-L7</t>
  </si>
  <si>
    <t xml:space="preserve">report_md (121-127)</t>
  </si>
  <si>
    <t xml:space="preserve">No cap at section 11's five concerns; nine rendered without truncation or a contract-violation flag.</t>
  </si>
  <si>
    <t xml:space="preserve">R6-A2</t>
  </si>
  <si>
    <t xml:space="preserve">_scores / report_md</t>
  </si>
  <si>
    <t xml:space="preserve">Design call: handle a structurally invalid judge.json under one mechanism - a 'judge-contract' finding surfaced in section 2 - rather than four separate guards. Would cover R6-H1, H2, M3 and L7.</t>
  </si>
  <si>
    <t xml:space="preserve">R6-A3</t>
  </si>
  <si>
    <t xml:space="preserve">section 12</t>
  </si>
  <si>
    <t xml:space="preserve">Document the convention that info findings fold into section 3 under 'Also noted' - section 12 says info is surfaced only in report.md but gives it no section, and phase 10 expected-output files will assert against it.</t>
  </si>
  <si>
    <t xml:space="preserve">Summary</t>
  </si>
  <si>
    <t xml:space="preserve">Every figure is a COUNTIF over 'Issue Register' - edit that sheet and these update.</t>
  </si>
  <si>
    <t xml:space="preserve">By severity</t>
  </si>
  <si>
    <t xml:space="preserve">Count</t>
  </si>
  <si>
    <t xml:space="preserve">Total</t>
  </si>
  <si>
    <t xml:space="preserve">By status</t>
  </si>
  <si>
    <t xml:space="preserve">By review round</t>
  </si>
  <si>
    <t xml:space="preserve">By category</t>
  </si>
  <si>
    <t xml:space="preserve">Still open</t>
  </si>
  <si>
    <t xml:space="preserve">Open items only, by severity (blocking work for phase 6 onward):</t>
  </si>
  <si>
    <t xml:space="preserve">Open count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</si>
</sst>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9C0006"/>
      <name val="Arial"/>
      <family val="0"/>
      <charset val="1"/>
    </font>
    <font>
      <b val="true"/>
      <sz val="10"/>
      <color rgb="FF006100"/>
      <name val="Arial"/>
      <family val="0"/>
      <charset val="1"/>
    </font>
    <font>
      <b val="true"/>
      <sz val="10"/>
      <color rgb="FF8A4B00"/>
      <name val="Arial"/>
      <family val="0"/>
      <charset val="1"/>
    </font>
    <font>
      <b val="true"/>
      <sz val="10"/>
      <color rgb="FF3F3F3F"/>
      <name val="Arial"/>
      <family val="0"/>
      <charset val="1"/>
    </font>
    <font>
      <b val="true"/>
      <sz val="10"/>
      <color rgb="FF7F6000"/>
      <name val="Arial"/>
      <family val="0"/>
      <charset val="1"/>
    </font>
    <font>
      <b val="true"/>
      <sz val="10"/>
      <color rgb="FF1F4E79"/>
      <name val="Arial"/>
      <family val="0"/>
      <charset val="1"/>
    </font>
    <font>
      <b val="true"/>
      <sz val="10"/>
      <color rgb="FF375623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44546A"/>
        <bgColor rgb="FF595959"/>
      </patternFill>
    </fill>
    <fill>
      <patternFill patternType="solid">
        <fgColor rgb="FFFFC7CE"/>
        <bgColor rgb="FFFFD9A6"/>
      </patternFill>
    </fill>
    <fill>
      <patternFill patternType="solid">
        <fgColor rgb="FFC6EFCE"/>
        <bgColor rgb="FFE2EFDA"/>
      </patternFill>
    </fill>
    <fill>
      <patternFill patternType="solid">
        <fgColor rgb="FFFFD9A6"/>
        <bgColor rgb="FFFFEB9C"/>
      </patternFill>
    </fill>
    <fill>
      <patternFill patternType="solid">
        <fgColor rgb="FFE7E6E6"/>
        <bgColor rgb="FFE2EFDA"/>
      </patternFill>
    </fill>
    <fill>
      <patternFill patternType="solid">
        <fgColor rgb="FFFFEB9C"/>
        <bgColor rgb="FFFFD9A6"/>
      </patternFill>
    </fill>
    <fill>
      <patternFill patternType="solid">
        <fgColor rgb="FFDDEBF7"/>
        <bgColor rgb="FFE7E6E6"/>
      </patternFill>
    </fill>
    <fill>
      <patternFill patternType="solid">
        <fgColor rgb="FFE2EFDA"/>
        <bgColor rgb="FFE7E6E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2" fillId="7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3" fillId="8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4" fillId="9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7">
    <dxf>
      <fill>
        <patternFill patternType="solid">
          <fgColor rgb="FF44546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E7E6E6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D9A6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1F4E79"/>
          <bgColor rgb="FF000000"/>
        </patternFill>
      </fill>
    </dxf>
    <dxf>
      <fill>
        <patternFill patternType="solid">
          <fgColor rgb="FF375623"/>
          <bgColor rgb="FF000000"/>
        </patternFill>
      </fill>
    </dxf>
    <dxf>
      <fill>
        <patternFill patternType="solid">
          <fgColor rgb="FF3F3F3F"/>
          <bgColor rgb="FF000000"/>
        </patternFill>
      </fill>
    </dxf>
    <dxf>
      <fill>
        <patternFill patternType="solid">
          <fgColor rgb="FF7F6000"/>
          <bgColor rgb="FF000000"/>
        </patternFill>
      </fill>
    </dxf>
    <dxf>
      <fill>
        <patternFill patternType="solid">
          <fgColor rgb="FF8A4B00"/>
          <bgColor rgb="FF000000"/>
        </patternFill>
      </fill>
    </dxf>
    <dxf>
      <fill>
        <patternFill patternType="solid">
          <fgColor rgb="FF9C0006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0061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7F6000"/>
      <rgbColor rgb="FF800080"/>
      <rgbColor rgb="FF008080"/>
      <rgbColor rgb="FFBFBFBF"/>
      <rgbColor rgb="FF808080"/>
      <rgbColor rgb="FF9999FF"/>
      <rgbColor rgb="FF993366"/>
      <rgbColor rgb="FFE2EFDA"/>
      <rgbColor rgb="FFDDEBF7"/>
      <rgbColor rgb="FF660066"/>
      <rgbColor rgb="FFFF8080"/>
      <rgbColor rgb="FF0066CC"/>
      <rgbColor rgb="FFFFC7C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E6E6"/>
      <rgbColor rgb="FFC6EFCE"/>
      <rgbColor rgb="FFFFEB9C"/>
      <rgbColor rgb="FF99CCFF"/>
      <rgbColor rgb="FFFF99CC"/>
      <rgbColor rgb="FFCC99FF"/>
      <rgbColor rgb="FFFFD9A6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44546A"/>
      <rgbColor rgb="FF339966"/>
      <rgbColor rgb="FF003300"/>
      <rgbColor rgb="FF375623"/>
      <rgbColor rgb="FF8A4B00"/>
      <rgbColor rgb="FF993366"/>
      <rgbColor rgb="FF1F4E79"/>
      <rgbColor rgb="FF3F3F3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7"/>
    <col collapsed="false" customWidth="true" hidden="false" outlineLevel="0" max="3" min="3" style="0" width="16"/>
    <col collapsed="false" customWidth="true" hidden="false" outlineLevel="0" max="4" min="4" style="0" width="24"/>
    <col collapsed="false" customWidth="true" hidden="false" outlineLevel="0" max="5" min="5" style="0" width="30"/>
    <col collapsed="false" customWidth="true" hidden="false" outlineLevel="0" max="6" min="6" style="0" width="11"/>
    <col collapsed="false" customWidth="true" hidden="false" outlineLevel="0" max="7" min="7" style="0" width="15"/>
    <col collapsed="false" customWidth="true" hidden="false" outlineLevel="0" max="8" min="8" style="0" width="88"/>
    <col collapsed="false" customWidth="true" hidden="false" outlineLevel="0" max="9" min="9" style="0" width="20"/>
    <col collapsed="false" customWidth="true" hidden="false" outlineLevel="0" max="10" min="10" style="0" width="1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customFormat="false" ht="15" hidden="false" customHeight="false" outlineLevel="0" collapsed="false">
      <c r="A5" s="4" t="s">
        <v>12</v>
      </c>
      <c r="B5" s="5" t="n">
        <v>1</v>
      </c>
      <c r="C5" s="4" t="s">
        <v>13</v>
      </c>
      <c r="D5" s="6" t="s">
        <v>14</v>
      </c>
      <c r="E5" s="6" t="s">
        <v>15</v>
      </c>
      <c r="F5" s="7" t="s">
        <v>16</v>
      </c>
      <c r="G5" s="4" t="s">
        <v>17</v>
      </c>
      <c r="H5" s="6" t="s">
        <v>18</v>
      </c>
      <c r="I5" s="8" t="s">
        <v>19</v>
      </c>
      <c r="J5" s="5" t="s">
        <v>20</v>
      </c>
    </row>
    <row r="6" customFormat="false" ht="15" hidden="false" customHeight="false" outlineLevel="0" collapsed="false">
      <c r="A6" s="4" t="s">
        <v>21</v>
      </c>
      <c r="B6" s="5" t="n">
        <v>1</v>
      </c>
      <c r="C6" s="4" t="s">
        <v>13</v>
      </c>
      <c r="D6" s="6" t="s">
        <v>14</v>
      </c>
      <c r="E6" s="6" t="s">
        <v>22</v>
      </c>
      <c r="F6" s="7" t="s">
        <v>16</v>
      </c>
      <c r="G6" s="4" t="s">
        <v>17</v>
      </c>
      <c r="H6" s="6" t="s">
        <v>23</v>
      </c>
      <c r="I6" s="8" t="s">
        <v>19</v>
      </c>
      <c r="J6" s="5" t="s">
        <v>20</v>
      </c>
    </row>
    <row r="7" customFormat="false" ht="15" hidden="false" customHeight="false" outlineLevel="0" collapsed="false">
      <c r="A7" s="4" t="s">
        <v>24</v>
      </c>
      <c r="B7" s="5" t="n">
        <v>1</v>
      </c>
      <c r="C7" s="4" t="s">
        <v>13</v>
      </c>
      <c r="D7" s="6" t="s">
        <v>25</v>
      </c>
      <c r="E7" s="6" t="s">
        <v>26</v>
      </c>
      <c r="F7" s="7" t="s">
        <v>16</v>
      </c>
      <c r="G7" s="4" t="s">
        <v>17</v>
      </c>
      <c r="H7" s="6" t="s">
        <v>27</v>
      </c>
      <c r="I7" s="8" t="s">
        <v>19</v>
      </c>
      <c r="J7" s="5" t="s">
        <v>20</v>
      </c>
    </row>
    <row r="8" customFormat="false" ht="23.85" hidden="false" customHeight="false" outlineLevel="0" collapsed="false">
      <c r="A8" s="4" t="s">
        <v>28</v>
      </c>
      <c r="B8" s="5" t="n">
        <v>1</v>
      </c>
      <c r="C8" s="4" t="s">
        <v>13</v>
      </c>
      <c r="D8" s="6" t="s">
        <v>29</v>
      </c>
      <c r="E8" s="6" t="s">
        <v>30</v>
      </c>
      <c r="F8" s="7" t="s">
        <v>16</v>
      </c>
      <c r="G8" s="4" t="s">
        <v>17</v>
      </c>
      <c r="H8" s="6" t="s">
        <v>31</v>
      </c>
      <c r="I8" s="8" t="s">
        <v>19</v>
      </c>
      <c r="J8" s="5" t="s">
        <v>20</v>
      </c>
    </row>
    <row r="9" customFormat="false" ht="15" hidden="false" customHeight="false" outlineLevel="0" collapsed="false">
      <c r="A9" s="4" t="s">
        <v>32</v>
      </c>
      <c r="B9" s="5" t="n">
        <v>1</v>
      </c>
      <c r="C9" s="4" t="s">
        <v>13</v>
      </c>
      <c r="D9" s="6" t="s">
        <v>14</v>
      </c>
      <c r="E9" s="6" t="s">
        <v>33</v>
      </c>
      <c r="F9" s="9" t="s">
        <v>34</v>
      </c>
      <c r="G9" s="4" t="s">
        <v>17</v>
      </c>
      <c r="H9" s="6" t="s">
        <v>35</v>
      </c>
      <c r="I9" s="8" t="s">
        <v>19</v>
      </c>
      <c r="J9" s="5" t="s">
        <v>20</v>
      </c>
    </row>
    <row r="10" customFormat="false" ht="15" hidden="false" customHeight="false" outlineLevel="0" collapsed="false">
      <c r="A10" s="4" t="s">
        <v>36</v>
      </c>
      <c r="B10" s="5" t="n">
        <v>1</v>
      </c>
      <c r="C10" s="4" t="s">
        <v>13</v>
      </c>
      <c r="D10" s="6" t="s">
        <v>14</v>
      </c>
      <c r="E10" s="6" t="s">
        <v>37</v>
      </c>
      <c r="F10" s="9" t="s">
        <v>34</v>
      </c>
      <c r="G10" s="4" t="s">
        <v>17</v>
      </c>
      <c r="H10" s="6" t="s">
        <v>38</v>
      </c>
      <c r="I10" s="8" t="s">
        <v>19</v>
      </c>
      <c r="J10" s="5" t="s">
        <v>20</v>
      </c>
    </row>
    <row r="11" customFormat="false" ht="15" hidden="false" customHeight="false" outlineLevel="0" collapsed="false">
      <c r="A11" s="4" t="s">
        <v>39</v>
      </c>
      <c r="B11" s="5" t="n">
        <v>1</v>
      </c>
      <c r="C11" s="4" t="s">
        <v>13</v>
      </c>
      <c r="D11" s="6" t="s">
        <v>14</v>
      </c>
      <c r="E11" s="6" t="s">
        <v>40</v>
      </c>
      <c r="F11" s="10" t="s">
        <v>41</v>
      </c>
      <c r="G11" s="4" t="s">
        <v>17</v>
      </c>
      <c r="H11" s="6" t="s">
        <v>42</v>
      </c>
      <c r="I11" s="8" t="s">
        <v>19</v>
      </c>
      <c r="J11" s="5" t="s">
        <v>20</v>
      </c>
    </row>
    <row r="12" customFormat="false" ht="23.85" hidden="false" customHeight="false" outlineLevel="0" collapsed="false">
      <c r="A12" s="4" t="s">
        <v>43</v>
      </c>
      <c r="B12" s="5" t="n">
        <v>1</v>
      </c>
      <c r="C12" s="4" t="s">
        <v>13</v>
      </c>
      <c r="D12" s="6" t="s">
        <v>14</v>
      </c>
      <c r="E12" s="6" t="s">
        <v>44</v>
      </c>
      <c r="F12" s="10" t="s">
        <v>41</v>
      </c>
      <c r="G12" s="4" t="s">
        <v>17</v>
      </c>
      <c r="H12" s="6" t="s">
        <v>45</v>
      </c>
      <c r="I12" s="8" t="s">
        <v>19</v>
      </c>
      <c r="J12" s="5" t="s">
        <v>20</v>
      </c>
    </row>
    <row r="13" customFormat="false" ht="15" hidden="false" customHeight="false" outlineLevel="0" collapsed="false">
      <c r="A13" s="4" t="s">
        <v>46</v>
      </c>
      <c r="B13" s="5" t="n">
        <v>1</v>
      </c>
      <c r="C13" s="4" t="s">
        <v>13</v>
      </c>
      <c r="D13" s="6" t="s">
        <v>14</v>
      </c>
      <c r="E13" s="6" t="s">
        <v>37</v>
      </c>
      <c r="F13" s="10" t="s">
        <v>41</v>
      </c>
      <c r="G13" s="4" t="s">
        <v>17</v>
      </c>
      <c r="H13" s="6" t="s">
        <v>47</v>
      </c>
      <c r="I13" s="8" t="s">
        <v>19</v>
      </c>
      <c r="J13" s="5" t="s">
        <v>20</v>
      </c>
    </row>
    <row r="14" customFormat="false" ht="23.85" hidden="false" customHeight="false" outlineLevel="0" collapsed="false">
      <c r="A14" s="4" t="s">
        <v>48</v>
      </c>
      <c r="B14" s="5" t="n">
        <v>1</v>
      </c>
      <c r="C14" s="4" t="s">
        <v>13</v>
      </c>
      <c r="D14" s="6" t="s">
        <v>14</v>
      </c>
      <c r="E14" s="6" t="s">
        <v>49</v>
      </c>
      <c r="F14" s="10" t="s">
        <v>41</v>
      </c>
      <c r="G14" s="4" t="s">
        <v>17</v>
      </c>
      <c r="H14" s="6" t="s">
        <v>50</v>
      </c>
      <c r="I14" s="8" t="s">
        <v>19</v>
      </c>
      <c r="J14" s="5" t="s">
        <v>51</v>
      </c>
    </row>
    <row r="15" customFormat="false" ht="15" hidden="false" customHeight="false" outlineLevel="0" collapsed="false">
      <c r="A15" s="4" t="s">
        <v>52</v>
      </c>
      <c r="B15" s="5" t="n">
        <v>1</v>
      </c>
      <c r="C15" s="4" t="s">
        <v>13</v>
      </c>
      <c r="D15" s="6" t="s">
        <v>14</v>
      </c>
      <c r="E15" s="6" t="s">
        <v>53</v>
      </c>
      <c r="F15" s="10" t="s">
        <v>41</v>
      </c>
      <c r="G15" s="4" t="s">
        <v>54</v>
      </c>
      <c r="H15" s="6" t="s">
        <v>55</v>
      </c>
      <c r="I15" s="7" t="s">
        <v>56</v>
      </c>
      <c r="J15" s="5"/>
    </row>
    <row r="16" customFormat="false" ht="15" hidden="false" customHeight="false" outlineLevel="0" collapsed="false">
      <c r="A16" s="4" t="s">
        <v>57</v>
      </c>
      <c r="B16" s="5" t="n">
        <v>1</v>
      </c>
      <c r="C16" s="4" t="s">
        <v>13</v>
      </c>
      <c r="D16" s="6" t="s">
        <v>29</v>
      </c>
      <c r="E16" s="6" t="s">
        <v>58</v>
      </c>
      <c r="F16" s="10" t="s">
        <v>41</v>
      </c>
      <c r="G16" s="4" t="s">
        <v>17</v>
      </c>
      <c r="H16" s="6" t="s">
        <v>59</v>
      </c>
      <c r="I16" s="8" t="s">
        <v>19</v>
      </c>
      <c r="J16" s="5" t="s">
        <v>20</v>
      </c>
    </row>
    <row r="17" customFormat="false" ht="15" hidden="false" customHeight="false" outlineLevel="0" collapsed="false">
      <c r="A17" s="4" t="s">
        <v>60</v>
      </c>
      <c r="B17" s="5" t="n">
        <v>1</v>
      </c>
      <c r="C17" s="4" t="s">
        <v>13</v>
      </c>
      <c r="D17" s="6" t="s">
        <v>29</v>
      </c>
      <c r="E17" s="6" t="s">
        <v>61</v>
      </c>
      <c r="F17" s="10" t="s">
        <v>41</v>
      </c>
      <c r="G17" s="4" t="s">
        <v>17</v>
      </c>
      <c r="H17" s="6" t="s">
        <v>62</v>
      </c>
      <c r="I17" s="8" t="s">
        <v>19</v>
      </c>
      <c r="J17" s="5" t="s">
        <v>20</v>
      </c>
    </row>
    <row r="18" customFormat="false" ht="15" hidden="false" customHeight="false" outlineLevel="0" collapsed="false">
      <c r="A18" s="4" t="s">
        <v>63</v>
      </c>
      <c r="B18" s="5" t="n">
        <v>1</v>
      </c>
      <c r="C18" s="4" t="s">
        <v>13</v>
      </c>
      <c r="D18" s="6" t="s">
        <v>14</v>
      </c>
      <c r="E18" s="6" t="s">
        <v>64</v>
      </c>
      <c r="F18" s="10" t="s">
        <v>41</v>
      </c>
      <c r="G18" s="4" t="s">
        <v>65</v>
      </c>
      <c r="H18" s="6" t="s">
        <v>66</v>
      </c>
      <c r="I18" s="8" t="s">
        <v>19</v>
      </c>
      <c r="J18" s="5" t="s">
        <v>20</v>
      </c>
    </row>
    <row r="19" customFormat="false" ht="15" hidden="false" customHeight="false" outlineLevel="0" collapsed="false">
      <c r="A19" s="4" t="s">
        <v>67</v>
      </c>
      <c r="B19" s="5" t="n">
        <v>1</v>
      </c>
      <c r="C19" s="4" t="s">
        <v>13</v>
      </c>
      <c r="D19" s="6" t="s">
        <v>14</v>
      </c>
      <c r="E19" s="6" t="s">
        <v>68</v>
      </c>
      <c r="F19" s="10" t="s">
        <v>41</v>
      </c>
      <c r="G19" s="4" t="s">
        <v>17</v>
      </c>
      <c r="H19" s="6" t="s">
        <v>69</v>
      </c>
      <c r="I19" s="8" t="s">
        <v>19</v>
      </c>
      <c r="J19" s="5" t="s">
        <v>20</v>
      </c>
    </row>
    <row r="20" customFormat="false" ht="15" hidden="false" customHeight="false" outlineLevel="0" collapsed="false">
      <c r="A20" s="4" t="s">
        <v>70</v>
      </c>
      <c r="B20" s="5" t="n">
        <v>1</v>
      </c>
      <c r="C20" s="4" t="s">
        <v>13</v>
      </c>
      <c r="D20" s="6" t="s">
        <v>71</v>
      </c>
      <c r="E20" s="6" t="s">
        <v>72</v>
      </c>
      <c r="F20" s="10" t="s">
        <v>41</v>
      </c>
      <c r="G20" s="4" t="s">
        <v>73</v>
      </c>
      <c r="H20" s="6" t="s">
        <v>74</v>
      </c>
      <c r="I20" s="8" t="s">
        <v>19</v>
      </c>
      <c r="J20" s="5" t="s">
        <v>20</v>
      </c>
    </row>
    <row r="21" customFormat="false" ht="15" hidden="false" customHeight="false" outlineLevel="0" collapsed="false">
      <c r="A21" s="4" t="s">
        <v>75</v>
      </c>
      <c r="B21" s="5" t="n">
        <v>1</v>
      </c>
      <c r="C21" s="4" t="s">
        <v>13</v>
      </c>
      <c r="D21" s="6" t="s">
        <v>76</v>
      </c>
      <c r="E21" s="6" t="s">
        <v>77</v>
      </c>
      <c r="F21" s="10" t="s">
        <v>41</v>
      </c>
      <c r="G21" s="4" t="s">
        <v>78</v>
      </c>
      <c r="H21" s="6" t="s">
        <v>79</v>
      </c>
      <c r="I21" s="8" t="s">
        <v>19</v>
      </c>
      <c r="J21" s="5" t="s">
        <v>80</v>
      </c>
    </row>
    <row r="22" customFormat="false" ht="15" hidden="false" customHeight="false" outlineLevel="0" collapsed="false">
      <c r="A22" s="4" t="s">
        <v>81</v>
      </c>
      <c r="B22" s="5" t="n">
        <v>2</v>
      </c>
      <c r="C22" s="4" t="s">
        <v>20</v>
      </c>
      <c r="D22" s="6" t="s">
        <v>14</v>
      </c>
      <c r="E22" s="6" t="s">
        <v>82</v>
      </c>
      <c r="F22" s="9" t="s">
        <v>34</v>
      </c>
      <c r="G22" s="4" t="s">
        <v>65</v>
      </c>
      <c r="H22" s="6" t="s">
        <v>83</v>
      </c>
      <c r="I22" s="8" t="s">
        <v>19</v>
      </c>
      <c r="J22" s="5" t="s">
        <v>51</v>
      </c>
    </row>
    <row r="23" customFormat="false" ht="23.85" hidden="false" customHeight="false" outlineLevel="0" collapsed="false">
      <c r="A23" s="4" t="s">
        <v>84</v>
      </c>
      <c r="B23" s="5" t="n">
        <v>2</v>
      </c>
      <c r="C23" s="4" t="s">
        <v>20</v>
      </c>
      <c r="D23" s="6" t="s">
        <v>85</v>
      </c>
      <c r="E23" s="6" t="s">
        <v>86</v>
      </c>
      <c r="F23" s="9" t="s">
        <v>34</v>
      </c>
      <c r="G23" s="4" t="s">
        <v>73</v>
      </c>
      <c r="H23" s="6" t="s">
        <v>87</v>
      </c>
      <c r="I23" s="8" t="s">
        <v>19</v>
      </c>
      <c r="J23" s="5" t="s">
        <v>51</v>
      </c>
    </row>
    <row r="24" customFormat="false" ht="15" hidden="false" customHeight="false" outlineLevel="0" collapsed="false">
      <c r="A24" s="4" t="s">
        <v>88</v>
      </c>
      <c r="B24" s="5" t="n">
        <v>2</v>
      </c>
      <c r="C24" s="4" t="s">
        <v>20</v>
      </c>
      <c r="D24" s="6" t="s">
        <v>89</v>
      </c>
      <c r="E24" s="6" t="s">
        <v>77</v>
      </c>
      <c r="F24" s="9" t="s">
        <v>34</v>
      </c>
      <c r="G24" s="4" t="s">
        <v>17</v>
      </c>
      <c r="H24" s="6" t="s">
        <v>90</v>
      </c>
      <c r="I24" s="8" t="s">
        <v>19</v>
      </c>
      <c r="J24" s="5" t="s">
        <v>51</v>
      </c>
    </row>
    <row r="25" customFormat="false" ht="15" hidden="false" customHeight="false" outlineLevel="0" collapsed="false">
      <c r="A25" s="4" t="s">
        <v>91</v>
      </c>
      <c r="B25" s="5" t="n">
        <v>2</v>
      </c>
      <c r="C25" s="4" t="s">
        <v>20</v>
      </c>
      <c r="D25" s="6" t="s">
        <v>14</v>
      </c>
      <c r="E25" s="6" t="s">
        <v>92</v>
      </c>
      <c r="F25" s="10" t="s">
        <v>41</v>
      </c>
      <c r="G25" s="4" t="s">
        <v>17</v>
      </c>
      <c r="H25" s="6" t="s">
        <v>93</v>
      </c>
      <c r="I25" s="8" t="s">
        <v>19</v>
      </c>
      <c r="J25" s="5" t="s">
        <v>51</v>
      </c>
    </row>
    <row r="26" customFormat="false" ht="15" hidden="false" customHeight="false" outlineLevel="0" collapsed="false">
      <c r="A26" s="4" t="s">
        <v>94</v>
      </c>
      <c r="B26" s="5" t="n">
        <v>2</v>
      </c>
      <c r="C26" s="4" t="s">
        <v>20</v>
      </c>
      <c r="D26" s="6" t="s">
        <v>14</v>
      </c>
      <c r="E26" s="6" t="s">
        <v>95</v>
      </c>
      <c r="F26" s="10" t="s">
        <v>41</v>
      </c>
      <c r="G26" s="4" t="s">
        <v>96</v>
      </c>
      <c r="H26" s="6" t="s">
        <v>97</v>
      </c>
      <c r="I26" s="8" t="s">
        <v>19</v>
      </c>
      <c r="J26" s="5" t="s">
        <v>51</v>
      </c>
    </row>
    <row r="27" customFormat="false" ht="15" hidden="false" customHeight="false" outlineLevel="0" collapsed="false">
      <c r="A27" s="4" t="s">
        <v>98</v>
      </c>
      <c r="B27" s="5" t="n">
        <v>2</v>
      </c>
      <c r="C27" s="4" t="s">
        <v>20</v>
      </c>
      <c r="D27" s="6" t="s">
        <v>14</v>
      </c>
      <c r="E27" s="6" t="s">
        <v>95</v>
      </c>
      <c r="F27" s="10" t="s">
        <v>41</v>
      </c>
      <c r="G27" s="4" t="s">
        <v>73</v>
      </c>
      <c r="H27" s="6" t="s">
        <v>99</v>
      </c>
      <c r="I27" s="7" t="s">
        <v>56</v>
      </c>
      <c r="J27" s="5"/>
    </row>
    <row r="28" customFormat="false" ht="15" hidden="false" customHeight="false" outlineLevel="0" collapsed="false">
      <c r="A28" s="4" t="s">
        <v>100</v>
      </c>
      <c r="B28" s="5" t="n">
        <v>2</v>
      </c>
      <c r="C28" s="4" t="s">
        <v>20</v>
      </c>
      <c r="D28" s="6" t="s">
        <v>14</v>
      </c>
      <c r="E28" s="6" t="s">
        <v>101</v>
      </c>
      <c r="F28" s="10" t="s">
        <v>41</v>
      </c>
      <c r="G28" s="4" t="s">
        <v>73</v>
      </c>
      <c r="H28" s="6" t="s">
        <v>102</v>
      </c>
      <c r="I28" s="8" t="s">
        <v>19</v>
      </c>
      <c r="J28" s="5" t="s">
        <v>51</v>
      </c>
    </row>
    <row r="29" customFormat="false" ht="15" hidden="false" customHeight="false" outlineLevel="0" collapsed="false">
      <c r="A29" s="4" t="s">
        <v>103</v>
      </c>
      <c r="B29" s="5" t="n">
        <v>2</v>
      </c>
      <c r="C29" s="4" t="s">
        <v>20</v>
      </c>
      <c r="D29" s="6" t="s">
        <v>29</v>
      </c>
      <c r="E29" s="6" t="s">
        <v>104</v>
      </c>
      <c r="F29" s="10" t="s">
        <v>41</v>
      </c>
      <c r="G29" s="4" t="s">
        <v>54</v>
      </c>
      <c r="H29" s="6" t="s">
        <v>105</v>
      </c>
      <c r="I29" s="8" t="s">
        <v>19</v>
      </c>
      <c r="J29" s="5" t="s">
        <v>51</v>
      </c>
    </row>
    <row r="30" customFormat="false" ht="15" hidden="false" customHeight="false" outlineLevel="0" collapsed="false">
      <c r="A30" s="4" t="s">
        <v>106</v>
      </c>
      <c r="B30" s="5" t="n">
        <v>2</v>
      </c>
      <c r="C30" s="4" t="s">
        <v>20</v>
      </c>
      <c r="D30" s="6" t="s">
        <v>29</v>
      </c>
      <c r="E30" s="6" t="s">
        <v>107</v>
      </c>
      <c r="F30" s="10" t="s">
        <v>41</v>
      </c>
      <c r="G30" s="4" t="s">
        <v>17</v>
      </c>
      <c r="H30" s="6" t="s">
        <v>108</v>
      </c>
      <c r="I30" s="5" t="s">
        <v>109</v>
      </c>
      <c r="J30" s="5"/>
    </row>
    <row r="31" customFormat="false" ht="15" hidden="false" customHeight="false" outlineLevel="0" collapsed="false">
      <c r="A31" s="4" t="s">
        <v>110</v>
      </c>
      <c r="B31" s="5" t="n">
        <v>2</v>
      </c>
      <c r="C31" s="4" t="s">
        <v>20</v>
      </c>
      <c r="D31" s="6" t="s">
        <v>111</v>
      </c>
      <c r="E31" s="6" t="s">
        <v>77</v>
      </c>
      <c r="F31" s="10" t="s">
        <v>41</v>
      </c>
      <c r="G31" s="4" t="s">
        <v>54</v>
      </c>
      <c r="H31" s="6" t="s">
        <v>112</v>
      </c>
      <c r="I31" s="8" t="s">
        <v>19</v>
      </c>
      <c r="J31" s="5" t="s">
        <v>51</v>
      </c>
    </row>
    <row r="32" customFormat="false" ht="15" hidden="false" customHeight="false" outlineLevel="0" collapsed="false">
      <c r="A32" s="4" t="s">
        <v>113</v>
      </c>
      <c r="B32" s="5" t="n">
        <v>2</v>
      </c>
      <c r="C32" s="4" t="s">
        <v>20</v>
      </c>
      <c r="D32" s="6" t="s">
        <v>14</v>
      </c>
      <c r="E32" s="6" t="s">
        <v>77</v>
      </c>
      <c r="F32" s="10" t="s">
        <v>41</v>
      </c>
      <c r="G32" s="4" t="s">
        <v>73</v>
      </c>
      <c r="H32" s="6" t="s">
        <v>114</v>
      </c>
      <c r="I32" s="7" t="s">
        <v>56</v>
      </c>
      <c r="J32" s="5"/>
    </row>
    <row r="33" customFormat="false" ht="23.85" hidden="false" customHeight="false" outlineLevel="0" collapsed="false">
      <c r="A33" s="4" t="s">
        <v>115</v>
      </c>
      <c r="B33" s="5" t="n">
        <v>3</v>
      </c>
      <c r="C33" s="4" t="s">
        <v>80</v>
      </c>
      <c r="D33" s="6" t="s">
        <v>116</v>
      </c>
      <c r="E33" s="6" t="s">
        <v>117</v>
      </c>
      <c r="F33" s="7" t="s">
        <v>16</v>
      </c>
      <c r="G33" s="4" t="s">
        <v>17</v>
      </c>
      <c r="H33" s="6" t="s">
        <v>118</v>
      </c>
      <c r="I33" s="8" t="s">
        <v>19</v>
      </c>
      <c r="J33" s="5" t="s">
        <v>119</v>
      </c>
    </row>
    <row r="34" customFormat="false" ht="15" hidden="false" customHeight="false" outlineLevel="0" collapsed="false">
      <c r="A34" s="4" t="s">
        <v>120</v>
      </c>
      <c r="B34" s="5" t="n">
        <v>3</v>
      </c>
      <c r="C34" s="4" t="s">
        <v>80</v>
      </c>
      <c r="D34" s="6" t="s">
        <v>116</v>
      </c>
      <c r="E34" s="6" t="s">
        <v>121</v>
      </c>
      <c r="F34" s="9" t="s">
        <v>34</v>
      </c>
      <c r="G34" s="4" t="s">
        <v>17</v>
      </c>
      <c r="H34" s="6" t="s">
        <v>122</v>
      </c>
      <c r="I34" s="8" t="s">
        <v>19</v>
      </c>
      <c r="J34" s="5" t="s">
        <v>51</v>
      </c>
    </row>
    <row r="35" customFormat="false" ht="23.85" hidden="false" customHeight="false" outlineLevel="0" collapsed="false">
      <c r="A35" s="4" t="s">
        <v>123</v>
      </c>
      <c r="B35" s="5" t="n">
        <v>3</v>
      </c>
      <c r="C35" s="4" t="s">
        <v>80</v>
      </c>
      <c r="D35" s="6" t="s">
        <v>116</v>
      </c>
      <c r="E35" s="6" t="s">
        <v>124</v>
      </c>
      <c r="F35" s="9" t="s">
        <v>34</v>
      </c>
      <c r="G35" s="4" t="s">
        <v>17</v>
      </c>
      <c r="H35" s="6" t="s">
        <v>125</v>
      </c>
      <c r="I35" s="8" t="s">
        <v>19</v>
      </c>
      <c r="J35" s="5" t="s">
        <v>51</v>
      </c>
    </row>
    <row r="36" customFormat="false" ht="23.85" hidden="false" customHeight="false" outlineLevel="0" collapsed="false">
      <c r="A36" s="4" t="s">
        <v>126</v>
      </c>
      <c r="B36" s="5" t="n">
        <v>3</v>
      </c>
      <c r="C36" s="4" t="s">
        <v>80</v>
      </c>
      <c r="D36" s="6" t="s">
        <v>116</v>
      </c>
      <c r="E36" s="6" t="s">
        <v>127</v>
      </c>
      <c r="F36" s="9" t="s">
        <v>34</v>
      </c>
      <c r="G36" s="4" t="s">
        <v>17</v>
      </c>
      <c r="H36" s="6" t="s">
        <v>128</v>
      </c>
      <c r="I36" s="8" t="s">
        <v>19</v>
      </c>
      <c r="J36" s="5" t="s">
        <v>51</v>
      </c>
    </row>
    <row r="37" customFormat="false" ht="15" hidden="false" customHeight="false" outlineLevel="0" collapsed="false">
      <c r="A37" s="4" t="s">
        <v>129</v>
      </c>
      <c r="B37" s="5" t="n">
        <v>3</v>
      </c>
      <c r="C37" s="4" t="s">
        <v>80</v>
      </c>
      <c r="D37" s="6" t="s">
        <v>116</v>
      </c>
      <c r="E37" s="6" t="s">
        <v>130</v>
      </c>
      <c r="F37" s="10" t="s">
        <v>41</v>
      </c>
      <c r="G37" s="4" t="s">
        <v>17</v>
      </c>
      <c r="H37" s="6" t="s">
        <v>131</v>
      </c>
      <c r="I37" s="8" t="s">
        <v>19</v>
      </c>
      <c r="J37" s="5" t="s">
        <v>51</v>
      </c>
    </row>
    <row r="38" customFormat="false" ht="15" hidden="false" customHeight="false" outlineLevel="0" collapsed="false">
      <c r="A38" s="4" t="s">
        <v>132</v>
      </c>
      <c r="B38" s="5" t="n">
        <v>3</v>
      </c>
      <c r="C38" s="4" t="s">
        <v>80</v>
      </c>
      <c r="D38" s="6" t="s">
        <v>116</v>
      </c>
      <c r="E38" s="6" t="s">
        <v>133</v>
      </c>
      <c r="F38" s="10" t="s">
        <v>41</v>
      </c>
      <c r="G38" s="4" t="s">
        <v>73</v>
      </c>
      <c r="H38" s="6" t="s">
        <v>134</v>
      </c>
      <c r="I38" s="8" t="s">
        <v>19</v>
      </c>
      <c r="J38" s="5" t="s">
        <v>51</v>
      </c>
    </row>
    <row r="39" customFormat="false" ht="15" hidden="false" customHeight="false" outlineLevel="0" collapsed="false">
      <c r="A39" s="4" t="s">
        <v>135</v>
      </c>
      <c r="B39" s="5" t="n">
        <v>3</v>
      </c>
      <c r="C39" s="4" t="s">
        <v>80</v>
      </c>
      <c r="D39" s="6" t="s">
        <v>116</v>
      </c>
      <c r="E39" s="6" t="s">
        <v>136</v>
      </c>
      <c r="F39" s="10" t="s">
        <v>41</v>
      </c>
      <c r="G39" s="4" t="s">
        <v>17</v>
      </c>
      <c r="H39" s="6" t="s">
        <v>137</v>
      </c>
      <c r="I39" s="5" t="s">
        <v>138</v>
      </c>
      <c r="J39" s="5"/>
    </row>
    <row r="40" customFormat="false" ht="15" hidden="false" customHeight="false" outlineLevel="0" collapsed="false">
      <c r="A40" s="4" t="s">
        <v>139</v>
      </c>
      <c r="B40" s="5" t="n">
        <v>3</v>
      </c>
      <c r="C40" s="4" t="s">
        <v>80</v>
      </c>
      <c r="D40" s="6" t="s">
        <v>116</v>
      </c>
      <c r="E40" s="6" t="s">
        <v>140</v>
      </c>
      <c r="F40" s="10" t="s">
        <v>41</v>
      </c>
      <c r="G40" s="4" t="s">
        <v>17</v>
      </c>
      <c r="H40" s="6" t="s">
        <v>141</v>
      </c>
      <c r="I40" s="8" t="s">
        <v>19</v>
      </c>
      <c r="J40" s="5" t="s">
        <v>51</v>
      </c>
    </row>
    <row r="41" customFormat="false" ht="15" hidden="false" customHeight="false" outlineLevel="0" collapsed="false">
      <c r="A41" s="4" t="s">
        <v>142</v>
      </c>
      <c r="B41" s="5" t="n">
        <v>3</v>
      </c>
      <c r="C41" s="4" t="s">
        <v>80</v>
      </c>
      <c r="D41" s="6" t="s">
        <v>116</v>
      </c>
      <c r="E41" s="6" t="s">
        <v>143</v>
      </c>
      <c r="F41" s="10" t="s">
        <v>41</v>
      </c>
      <c r="G41" s="4" t="s">
        <v>73</v>
      </c>
      <c r="H41" s="6" t="s">
        <v>144</v>
      </c>
      <c r="I41" s="5" t="s">
        <v>145</v>
      </c>
      <c r="J41" s="5"/>
    </row>
    <row r="42" customFormat="false" ht="15" hidden="false" customHeight="false" outlineLevel="0" collapsed="false">
      <c r="A42" s="4" t="s">
        <v>146</v>
      </c>
      <c r="B42" s="5" t="n">
        <v>3</v>
      </c>
      <c r="C42" s="4" t="s">
        <v>80</v>
      </c>
      <c r="D42" s="6" t="s">
        <v>116</v>
      </c>
      <c r="E42" s="6" t="s">
        <v>147</v>
      </c>
      <c r="F42" s="10" t="s">
        <v>41</v>
      </c>
      <c r="G42" s="4" t="s">
        <v>17</v>
      </c>
      <c r="H42" s="6" t="s">
        <v>148</v>
      </c>
      <c r="I42" s="8" t="s">
        <v>19</v>
      </c>
      <c r="J42" s="5" t="s">
        <v>51</v>
      </c>
    </row>
    <row r="43" customFormat="false" ht="23.85" hidden="false" customHeight="false" outlineLevel="0" collapsed="false">
      <c r="A43" s="4" t="s">
        <v>149</v>
      </c>
      <c r="B43" s="5" t="n">
        <v>4</v>
      </c>
      <c r="C43" s="4" t="s">
        <v>51</v>
      </c>
      <c r="D43" s="6" t="s">
        <v>116</v>
      </c>
      <c r="E43" s="6" t="s">
        <v>150</v>
      </c>
      <c r="F43" s="7" t="s">
        <v>16</v>
      </c>
      <c r="G43" s="4" t="s">
        <v>17</v>
      </c>
      <c r="H43" s="6" t="s">
        <v>151</v>
      </c>
      <c r="I43" s="8" t="s">
        <v>19</v>
      </c>
      <c r="J43" s="5" t="s">
        <v>119</v>
      </c>
    </row>
    <row r="44" customFormat="false" ht="15" hidden="false" customHeight="false" outlineLevel="0" collapsed="false">
      <c r="A44" s="4" t="s">
        <v>152</v>
      </c>
      <c r="B44" s="5" t="n">
        <v>4</v>
      </c>
      <c r="C44" s="4" t="s">
        <v>51</v>
      </c>
      <c r="D44" s="6" t="s">
        <v>29</v>
      </c>
      <c r="E44" s="6" t="s">
        <v>153</v>
      </c>
      <c r="F44" s="9" t="s">
        <v>34</v>
      </c>
      <c r="G44" s="4" t="s">
        <v>17</v>
      </c>
      <c r="H44" s="6" t="s">
        <v>154</v>
      </c>
      <c r="I44" s="8" t="s">
        <v>19</v>
      </c>
      <c r="J44" s="5" t="s">
        <v>119</v>
      </c>
    </row>
    <row r="45" customFormat="false" ht="23.85" hidden="false" customHeight="false" outlineLevel="0" collapsed="false">
      <c r="A45" s="4" t="s">
        <v>155</v>
      </c>
      <c r="B45" s="5" t="n">
        <v>4</v>
      </c>
      <c r="C45" s="4" t="s">
        <v>51</v>
      </c>
      <c r="D45" s="6" t="s">
        <v>29</v>
      </c>
      <c r="E45" s="6" t="s">
        <v>156</v>
      </c>
      <c r="F45" s="9" t="s">
        <v>34</v>
      </c>
      <c r="G45" s="4" t="s">
        <v>73</v>
      </c>
      <c r="H45" s="6" t="s">
        <v>157</v>
      </c>
      <c r="I45" s="8" t="s">
        <v>19</v>
      </c>
      <c r="J45" s="5" t="s">
        <v>119</v>
      </c>
    </row>
    <row r="46" customFormat="false" ht="23.85" hidden="false" customHeight="false" outlineLevel="0" collapsed="false">
      <c r="A46" s="4" t="s">
        <v>158</v>
      </c>
      <c r="B46" s="5" t="n">
        <v>4</v>
      </c>
      <c r="C46" s="4" t="s">
        <v>51</v>
      </c>
      <c r="D46" s="6" t="s">
        <v>116</v>
      </c>
      <c r="E46" s="6" t="s">
        <v>159</v>
      </c>
      <c r="F46" s="9" t="s">
        <v>34</v>
      </c>
      <c r="G46" s="4" t="s">
        <v>78</v>
      </c>
      <c r="H46" s="6" t="s">
        <v>160</v>
      </c>
      <c r="I46" s="8" t="s">
        <v>19</v>
      </c>
      <c r="J46" s="5" t="s">
        <v>119</v>
      </c>
    </row>
    <row r="47" customFormat="false" ht="15" hidden="false" customHeight="false" outlineLevel="0" collapsed="false">
      <c r="A47" s="4" t="s">
        <v>161</v>
      </c>
      <c r="B47" s="5" t="n">
        <v>4</v>
      </c>
      <c r="C47" s="4" t="s">
        <v>51</v>
      </c>
      <c r="D47" s="6" t="s">
        <v>14</v>
      </c>
      <c r="E47" s="6" t="s">
        <v>162</v>
      </c>
      <c r="F47" s="11" t="s">
        <v>163</v>
      </c>
      <c r="G47" s="4" t="s">
        <v>17</v>
      </c>
      <c r="H47" s="6" t="s">
        <v>164</v>
      </c>
      <c r="I47" s="8" t="s">
        <v>19</v>
      </c>
      <c r="J47" s="5" t="s">
        <v>119</v>
      </c>
    </row>
    <row r="48" customFormat="false" ht="35.05" hidden="false" customHeight="false" outlineLevel="0" collapsed="false">
      <c r="A48" s="4" t="s">
        <v>165</v>
      </c>
      <c r="B48" s="5" t="n">
        <v>5</v>
      </c>
      <c r="C48" s="4" t="s">
        <v>119</v>
      </c>
      <c r="D48" s="6" t="s">
        <v>116</v>
      </c>
      <c r="E48" s="6" t="s">
        <v>166</v>
      </c>
      <c r="F48" s="11" t="s">
        <v>163</v>
      </c>
      <c r="G48" s="4" t="s">
        <v>17</v>
      </c>
      <c r="H48" s="6" t="s">
        <v>167</v>
      </c>
      <c r="I48" s="7" t="s">
        <v>56</v>
      </c>
      <c r="J48" s="5"/>
    </row>
    <row r="49" customFormat="false" ht="23.85" hidden="false" customHeight="false" outlineLevel="0" collapsed="false">
      <c r="A49" s="4" t="s">
        <v>168</v>
      </c>
      <c r="B49" s="5" t="n">
        <v>5</v>
      </c>
      <c r="C49" s="4" t="s">
        <v>119</v>
      </c>
      <c r="D49" s="6" t="s">
        <v>14</v>
      </c>
      <c r="E49" s="6" t="s">
        <v>169</v>
      </c>
      <c r="F49" s="11" t="s">
        <v>163</v>
      </c>
      <c r="G49" s="4" t="s">
        <v>17</v>
      </c>
      <c r="H49" s="6" t="s">
        <v>170</v>
      </c>
      <c r="I49" s="7" t="s">
        <v>56</v>
      </c>
      <c r="J49" s="5"/>
    </row>
    <row r="50" customFormat="false" ht="23.85" hidden="false" customHeight="false" outlineLevel="0" collapsed="false">
      <c r="A50" s="4" t="s">
        <v>171</v>
      </c>
      <c r="B50" s="5" t="n">
        <v>5</v>
      </c>
      <c r="C50" s="4" t="s">
        <v>119</v>
      </c>
      <c r="D50" s="6" t="s">
        <v>14</v>
      </c>
      <c r="E50" s="6" t="s">
        <v>172</v>
      </c>
      <c r="F50" s="12" t="s">
        <v>173</v>
      </c>
      <c r="G50" s="4" t="s">
        <v>54</v>
      </c>
      <c r="H50" s="6" t="s">
        <v>174</v>
      </c>
      <c r="I50" s="7" t="s">
        <v>56</v>
      </c>
      <c r="J50" s="5"/>
    </row>
    <row r="51" customFormat="false" ht="23.85" hidden="false" customHeight="false" outlineLevel="0" collapsed="false">
      <c r="A51" s="4" t="s">
        <v>175</v>
      </c>
      <c r="B51" s="5" t="n">
        <v>5</v>
      </c>
      <c r="C51" s="4" t="s">
        <v>119</v>
      </c>
      <c r="D51" s="6" t="s">
        <v>176</v>
      </c>
      <c r="E51" s="6" t="s">
        <v>177</v>
      </c>
      <c r="F51" s="13" t="s">
        <v>178</v>
      </c>
      <c r="G51" s="4" t="s">
        <v>73</v>
      </c>
      <c r="H51" s="6" t="s">
        <v>179</v>
      </c>
      <c r="I51" s="7" t="s">
        <v>56</v>
      </c>
      <c r="J51" s="5"/>
    </row>
    <row r="52" customFormat="false" ht="23.85" hidden="false" customHeight="false" outlineLevel="0" collapsed="false">
      <c r="A52" s="4" t="s">
        <v>180</v>
      </c>
      <c r="B52" s="5" t="n">
        <v>6</v>
      </c>
      <c r="C52" s="4" t="s">
        <v>181</v>
      </c>
      <c r="D52" s="6" t="s">
        <v>182</v>
      </c>
      <c r="E52" s="6" t="s">
        <v>183</v>
      </c>
      <c r="F52" s="9" t="s">
        <v>34</v>
      </c>
      <c r="G52" s="4" t="s">
        <v>17</v>
      </c>
      <c r="H52" s="6" t="s">
        <v>184</v>
      </c>
      <c r="I52" s="7" t="s">
        <v>56</v>
      </c>
      <c r="J52" s="5"/>
    </row>
    <row r="53" customFormat="false" ht="23.85" hidden="false" customHeight="false" outlineLevel="0" collapsed="false">
      <c r="A53" s="4" t="s">
        <v>185</v>
      </c>
      <c r="B53" s="5" t="n">
        <v>6</v>
      </c>
      <c r="C53" s="4" t="s">
        <v>181</v>
      </c>
      <c r="D53" s="6" t="s">
        <v>182</v>
      </c>
      <c r="E53" s="6" t="s">
        <v>186</v>
      </c>
      <c r="F53" s="9" t="s">
        <v>34</v>
      </c>
      <c r="G53" s="4" t="s">
        <v>17</v>
      </c>
      <c r="H53" s="6" t="s">
        <v>187</v>
      </c>
      <c r="I53" s="7" t="s">
        <v>56</v>
      </c>
      <c r="J53" s="5"/>
    </row>
    <row r="54" customFormat="false" ht="23.85" hidden="false" customHeight="false" outlineLevel="0" collapsed="false">
      <c r="A54" s="4" t="s">
        <v>188</v>
      </c>
      <c r="B54" s="5" t="n">
        <v>6</v>
      </c>
      <c r="C54" s="4" t="s">
        <v>181</v>
      </c>
      <c r="D54" s="6" t="s">
        <v>182</v>
      </c>
      <c r="E54" s="6" t="s">
        <v>189</v>
      </c>
      <c r="F54" s="11" t="s">
        <v>163</v>
      </c>
      <c r="G54" s="4" t="s">
        <v>17</v>
      </c>
      <c r="H54" s="6" t="s">
        <v>190</v>
      </c>
      <c r="I54" s="7" t="s">
        <v>56</v>
      </c>
      <c r="J54" s="5"/>
    </row>
    <row r="55" customFormat="false" ht="35.05" hidden="false" customHeight="false" outlineLevel="0" collapsed="false">
      <c r="A55" s="4" t="s">
        <v>191</v>
      </c>
      <c r="B55" s="5" t="n">
        <v>6</v>
      </c>
      <c r="C55" s="4" t="s">
        <v>181</v>
      </c>
      <c r="D55" s="6" t="s">
        <v>182</v>
      </c>
      <c r="E55" s="6" t="s">
        <v>192</v>
      </c>
      <c r="F55" s="11" t="s">
        <v>163</v>
      </c>
      <c r="G55" s="4" t="s">
        <v>73</v>
      </c>
      <c r="H55" s="6" t="s">
        <v>193</v>
      </c>
      <c r="I55" s="7" t="s">
        <v>56</v>
      </c>
      <c r="J55" s="5"/>
    </row>
    <row r="56" customFormat="false" ht="15" hidden="false" customHeight="false" outlineLevel="0" collapsed="false">
      <c r="A56" s="4" t="s">
        <v>194</v>
      </c>
      <c r="B56" s="5" t="n">
        <v>6</v>
      </c>
      <c r="C56" s="4" t="s">
        <v>181</v>
      </c>
      <c r="D56" s="6" t="s">
        <v>182</v>
      </c>
      <c r="E56" s="6" t="s">
        <v>195</v>
      </c>
      <c r="F56" s="11" t="s">
        <v>163</v>
      </c>
      <c r="G56" s="4" t="s">
        <v>54</v>
      </c>
      <c r="H56" s="6" t="s">
        <v>196</v>
      </c>
      <c r="I56" s="7" t="s">
        <v>56</v>
      </c>
      <c r="J56" s="5"/>
    </row>
    <row r="57" customFormat="false" ht="23.85" hidden="false" customHeight="false" outlineLevel="0" collapsed="false">
      <c r="A57" s="4" t="s">
        <v>197</v>
      </c>
      <c r="B57" s="5" t="n">
        <v>6</v>
      </c>
      <c r="C57" s="4" t="s">
        <v>181</v>
      </c>
      <c r="D57" s="6" t="s">
        <v>182</v>
      </c>
      <c r="E57" s="6" t="s">
        <v>198</v>
      </c>
      <c r="F57" s="11" t="s">
        <v>163</v>
      </c>
      <c r="G57" s="4" t="s">
        <v>17</v>
      </c>
      <c r="H57" s="6" t="s">
        <v>199</v>
      </c>
      <c r="I57" s="7" t="s">
        <v>56</v>
      </c>
      <c r="J57" s="5"/>
    </row>
    <row r="58" customFormat="false" ht="15" hidden="false" customHeight="false" outlineLevel="0" collapsed="false">
      <c r="A58" s="4" t="s">
        <v>200</v>
      </c>
      <c r="B58" s="5" t="n">
        <v>6</v>
      </c>
      <c r="C58" s="4" t="s">
        <v>181</v>
      </c>
      <c r="D58" s="6" t="s">
        <v>182</v>
      </c>
      <c r="E58" s="6" t="s">
        <v>201</v>
      </c>
      <c r="F58" s="12" t="s">
        <v>173</v>
      </c>
      <c r="G58" s="4" t="s">
        <v>54</v>
      </c>
      <c r="H58" s="6" t="s">
        <v>202</v>
      </c>
      <c r="I58" s="7" t="s">
        <v>56</v>
      </c>
      <c r="J58" s="5"/>
    </row>
    <row r="59" customFormat="false" ht="23.85" hidden="false" customHeight="false" outlineLevel="0" collapsed="false">
      <c r="A59" s="4" t="s">
        <v>203</v>
      </c>
      <c r="B59" s="5" t="n">
        <v>6</v>
      </c>
      <c r="C59" s="4" t="s">
        <v>181</v>
      </c>
      <c r="D59" s="6" t="s">
        <v>182</v>
      </c>
      <c r="E59" s="6" t="s">
        <v>204</v>
      </c>
      <c r="F59" s="13" t="s">
        <v>178</v>
      </c>
      <c r="G59" s="4" t="s">
        <v>73</v>
      </c>
      <c r="H59" s="6" t="s">
        <v>205</v>
      </c>
      <c r="I59" s="7" t="s">
        <v>56</v>
      </c>
      <c r="J59" s="5"/>
    </row>
    <row r="60" customFormat="false" ht="23.85" hidden="false" customHeight="false" outlineLevel="0" collapsed="false">
      <c r="A60" s="4" t="s">
        <v>206</v>
      </c>
      <c r="B60" s="5" t="n">
        <v>6</v>
      </c>
      <c r="C60" s="4" t="s">
        <v>181</v>
      </c>
      <c r="D60" s="6" t="s">
        <v>176</v>
      </c>
      <c r="E60" s="6" t="s">
        <v>207</v>
      </c>
      <c r="F60" s="13" t="s">
        <v>178</v>
      </c>
      <c r="G60" s="4" t="s">
        <v>73</v>
      </c>
      <c r="H60" s="6" t="s">
        <v>208</v>
      </c>
      <c r="I60" s="7" t="s">
        <v>56</v>
      </c>
      <c r="J60" s="5"/>
    </row>
  </sheetData>
  <autoFilter ref="A4:J60"/>
  <dataValidations count="1">
    <dataValidation allowBlank="true" errorStyle="stop" operator="between" showDropDown="false" showErrorMessage="false" showInputMessage="false" sqref="I5:I60" type="list">
      <formula1>"Open,Fixed,Deferred - phase 6,Deferred - phase 8,Closed - not an issue,Won't fix"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2"/>
  </cols>
  <sheetData>
    <row r="1" customFormat="false" ht="17.35" hidden="false" customHeight="false" outlineLevel="0" collapsed="false">
      <c r="A1" s="1" t="s">
        <v>209</v>
      </c>
    </row>
    <row r="2" customFormat="false" ht="15" hidden="false" customHeight="false" outlineLevel="0" collapsed="false">
      <c r="A2" s="2" t="s">
        <v>210</v>
      </c>
    </row>
    <row r="4" customFormat="false" ht="15" hidden="false" customHeight="false" outlineLevel="0" collapsed="false">
      <c r="A4" s="14" t="s">
        <v>211</v>
      </c>
    </row>
    <row r="5" customFormat="false" ht="15" hidden="false" customHeight="false" outlineLevel="0" collapsed="false">
      <c r="A5" s="15" t="s">
        <v>7</v>
      </c>
      <c r="B5" s="15" t="s">
        <v>212</v>
      </c>
    </row>
    <row r="6" customFormat="false" ht="15" hidden="false" customHeight="false" outlineLevel="0" collapsed="false">
      <c r="A6" s="16" t="s">
        <v>16</v>
      </c>
      <c r="B6" s="17" t="n">
        <f aca="false">COUNTIF('Issue Register'!$F$5:$F$60,"Critical")</f>
        <v>6</v>
      </c>
    </row>
    <row r="7" customFormat="false" ht="15" hidden="false" customHeight="false" outlineLevel="0" collapsed="false">
      <c r="A7" s="16" t="s">
        <v>34</v>
      </c>
      <c r="B7" s="17" t="n">
        <f aca="false">COUNTIF('Issue Register'!$F$5:$F$60,"High")</f>
        <v>13</v>
      </c>
    </row>
    <row r="8" customFormat="false" ht="15" hidden="false" customHeight="false" outlineLevel="0" collapsed="false">
      <c r="A8" s="16" t="s">
        <v>163</v>
      </c>
      <c r="B8" s="17" t="n">
        <f aca="false">COUNTIF('Issue Register'!$F$5:$F$60,"Medium")</f>
        <v>7</v>
      </c>
    </row>
    <row r="9" customFormat="false" ht="15" hidden="false" customHeight="false" outlineLevel="0" collapsed="false">
      <c r="A9" s="16" t="s">
        <v>173</v>
      </c>
      <c r="B9" s="17" t="n">
        <f aca="false">COUNTIF('Issue Register'!$F$5:$F$60,"Low")</f>
        <v>2</v>
      </c>
    </row>
    <row r="10" customFormat="false" ht="15" hidden="false" customHeight="false" outlineLevel="0" collapsed="false">
      <c r="A10" s="16" t="s">
        <v>41</v>
      </c>
      <c r="B10" s="17" t="n">
        <f aca="false">COUNTIF('Issue Register'!$F$5:$F$60,"Suggestion")</f>
        <v>25</v>
      </c>
    </row>
    <row r="11" customFormat="false" ht="15" hidden="false" customHeight="false" outlineLevel="0" collapsed="false">
      <c r="A11" s="16" t="s">
        <v>178</v>
      </c>
      <c r="B11" s="17" t="n">
        <f aca="false">COUNTIF('Issue Register'!$F$5:$F$60,"Action")</f>
        <v>3</v>
      </c>
    </row>
    <row r="12" customFormat="false" ht="15" hidden="false" customHeight="false" outlineLevel="0" collapsed="false">
      <c r="A12" s="18" t="s">
        <v>213</v>
      </c>
      <c r="B12" s="19" t="n">
        <f aca="false">SUM(B6:B11)</f>
        <v>56</v>
      </c>
    </row>
    <row r="14" customFormat="false" ht="15" hidden="false" customHeight="false" outlineLevel="0" collapsed="false">
      <c r="A14" s="14" t="s">
        <v>214</v>
      </c>
    </row>
    <row r="15" customFormat="false" ht="15" hidden="false" customHeight="false" outlineLevel="0" collapsed="false">
      <c r="A15" s="15" t="s">
        <v>10</v>
      </c>
      <c r="B15" s="15" t="s">
        <v>212</v>
      </c>
    </row>
    <row r="16" customFormat="false" ht="15" hidden="false" customHeight="false" outlineLevel="0" collapsed="false">
      <c r="A16" s="16" t="s">
        <v>19</v>
      </c>
      <c r="B16" s="17" t="n">
        <f aca="false">COUNTIF('Issue Register'!$I$5:$I$60,"Fixed")</f>
        <v>37</v>
      </c>
    </row>
    <row r="17" customFormat="false" ht="15" hidden="false" customHeight="false" outlineLevel="0" collapsed="false">
      <c r="A17" s="16" t="s">
        <v>56</v>
      </c>
      <c r="B17" s="17" t="n">
        <f aca="false">COUNTIF('Issue Register'!$I$5:$I$60,"Open")</f>
        <v>16</v>
      </c>
    </row>
    <row r="18" customFormat="false" ht="15" hidden="false" customHeight="false" outlineLevel="0" collapsed="false">
      <c r="A18" s="16" t="s">
        <v>145</v>
      </c>
      <c r="B18" s="17" t="n">
        <f aca="false">COUNTIF('Issue Register'!$I$5:$I$60,"Deferred - phase 6")</f>
        <v>1</v>
      </c>
    </row>
    <row r="19" customFormat="false" ht="15" hidden="false" customHeight="false" outlineLevel="0" collapsed="false">
      <c r="A19" s="16" t="s">
        <v>138</v>
      </c>
      <c r="B19" s="17" t="n">
        <f aca="false">COUNTIF('Issue Register'!$I$5:$I$60,"Deferred - phase 8")</f>
        <v>1</v>
      </c>
    </row>
    <row r="20" customFormat="false" ht="15" hidden="false" customHeight="false" outlineLevel="0" collapsed="false">
      <c r="A20" s="16" t="s">
        <v>109</v>
      </c>
      <c r="B20" s="17" t="n">
        <f aca="false">COUNTIF('Issue Register'!$I$5:$I$60,"Closed - not an issue")</f>
        <v>1</v>
      </c>
    </row>
    <row r="21" customFormat="false" ht="15" hidden="false" customHeight="false" outlineLevel="0" collapsed="false">
      <c r="A21" s="18" t="s">
        <v>213</v>
      </c>
      <c r="B21" s="19" t="n">
        <f aca="false">SUM(B16:B20)</f>
        <v>56</v>
      </c>
    </row>
    <row r="23" customFormat="false" ht="15" hidden="false" customHeight="false" outlineLevel="0" collapsed="false">
      <c r="A23" s="14" t="s">
        <v>215</v>
      </c>
    </row>
    <row r="24" customFormat="false" ht="15" hidden="false" customHeight="false" outlineLevel="0" collapsed="false">
      <c r="A24" s="15" t="s">
        <v>3</v>
      </c>
      <c r="B24" s="15" t="s">
        <v>212</v>
      </c>
    </row>
    <row r="25" customFormat="false" ht="15" hidden="false" customHeight="false" outlineLevel="0" collapsed="false">
      <c r="A25" s="16" t="n">
        <v>1</v>
      </c>
      <c r="B25" s="17" t="n">
        <f aca="false">COUNTIF('Issue Register'!$B$5:$B$60,1)</f>
        <v>17</v>
      </c>
    </row>
    <row r="26" customFormat="false" ht="15" hidden="false" customHeight="false" outlineLevel="0" collapsed="false">
      <c r="A26" s="16" t="n">
        <v>2</v>
      </c>
      <c r="B26" s="17" t="n">
        <f aca="false">COUNTIF('Issue Register'!$B$5:$B$60,2)</f>
        <v>11</v>
      </c>
    </row>
    <row r="27" customFormat="false" ht="15" hidden="false" customHeight="false" outlineLevel="0" collapsed="false">
      <c r="A27" s="16" t="n">
        <v>3</v>
      </c>
      <c r="B27" s="17" t="n">
        <f aca="false">COUNTIF('Issue Register'!$B$5:$B$60,3)</f>
        <v>10</v>
      </c>
    </row>
    <row r="28" customFormat="false" ht="15" hidden="false" customHeight="false" outlineLevel="0" collapsed="false">
      <c r="A28" s="16" t="n">
        <v>4</v>
      </c>
      <c r="B28" s="17" t="n">
        <f aca="false">COUNTIF('Issue Register'!$B$5:$B$60,4)</f>
        <v>5</v>
      </c>
    </row>
    <row r="29" customFormat="false" ht="15" hidden="false" customHeight="false" outlineLevel="0" collapsed="false">
      <c r="A29" s="16" t="n">
        <v>5</v>
      </c>
      <c r="B29" s="17" t="n">
        <f aca="false">COUNTIF('Issue Register'!$B$5:$B$60,5)</f>
        <v>4</v>
      </c>
    </row>
    <row r="30" customFormat="false" ht="15" hidden="false" customHeight="false" outlineLevel="0" collapsed="false">
      <c r="A30" s="16" t="n">
        <v>6</v>
      </c>
      <c r="B30" s="17" t="n">
        <f aca="false">COUNTIF('Issue Register'!$B$5:$B$60,6)</f>
        <v>9</v>
      </c>
    </row>
    <row r="31" customFormat="false" ht="15" hidden="false" customHeight="false" outlineLevel="0" collapsed="false">
      <c r="A31" s="18" t="s">
        <v>213</v>
      </c>
      <c r="B31" s="19" t="n">
        <f aca="false">SUM(B25:B30)</f>
        <v>56</v>
      </c>
    </row>
    <row r="33" customFormat="false" ht="15" hidden="false" customHeight="false" outlineLevel="0" collapsed="false">
      <c r="A33" s="14" t="s">
        <v>216</v>
      </c>
    </row>
    <row r="34" customFormat="false" ht="15" hidden="false" customHeight="false" outlineLevel="0" collapsed="false">
      <c r="A34" s="15" t="s">
        <v>8</v>
      </c>
      <c r="B34" s="15" t="s">
        <v>212</v>
      </c>
    </row>
    <row r="35" customFormat="false" ht="15" hidden="false" customHeight="false" outlineLevel="0" collapsed="false">
      <c r="A35" s="16" t="s">
        <v>17</v>
      </c>
      <c r="B35" s="17" t="n">
        <f aca="false">COUNTIF('Issue Register'!$G$5:$G$60,"Correctness")</f>
        <v>33</v>
      </c>
    </row>
    <row r="36" customFormat="false" ht="15" hidden="false" customHeight="false" outlineLevel="0" collapsed="false">
      <c r="A36" s="16" t="s">
        <v>65</v>
      </c>
      <c r="B36" s="17" t="n">
        <f aca="false">COUNTIF('Issue Register'!$G$5:$G$60,"Security")</f>
        <v>2</v>
      </c>
    </row>
    <row r="37" customFormat="false" ht="15" hidden="false" customHeight="false" outlineLevel="0" collapsed="false">
      <c r="A37" s="16" t="s">
        <v>96</v>
      </c>
      <c r="B37" s="17" t="n">
        <f aca="false">COUNTIF('Issue Register'!$G$5:$G$60,"Performance")</f>
        <v>1</v>
      </c>
    </row>
    <row r="38" customFormat="false" ht="15" hidden="false" customHeight="false" outlineLevel="0" collapsed="false">
      <c r="A38" s="16" t="s">
        <v>73</v>
      </c>
      <c r="B38" s="17" t="n">
        <f aca="false">COUNTIF('Issue Register'!$G$5:$G$60,"Maintainability")</f>
        <v>12</v>
      </c>
    </row>
    <row r="39" customFormat="false" ht="15" hidden="false" customHeight="false" outlineLevel="0" collapsed="false">
      <c r="A39" s="16" t="s">
        <v>54</v>
      </c>
      <c r="B39" s="17" t="n">
        <f aca="false">COUNTIF('Issue Register'!$G$5:$G$60,"Style")</f>
        <v>6</v>
      </c>
    </row>
    <row r="40" customFormat="false" ht="15" hidden="false" customHeight="false" outlineLevel="0" collapsed="false">
      <c r="A40" s="16" t="s">
        <v>78</v>
      </c>
      <c r="B40" s="17" t="n">
        <f aca="false">COUNTIF('Issue Register'!$G$5:$G$60,"Test coverage")</f>
        <v>2</v>
      </c>
    </row>
    <row r="41" customFormat="false" ht="15" hidden="false" customHeight="false" outlineLevel="0" collapsed="false">
      <c r="A41" s="18" t="s">
        <v>213</v>
      </c>
      <c r="B41" s="19" t="n">
        <f aca="false">SUM(B35:B40)</f>
        <v>56</v>
      </c>
    </row>
    <row r="43" customFormat="false" ht="15" hidden="false" customHeight="false" outlineLevel="0" collapsed="false">
      <c r="A43" s="14" t="s">
        <v>217</v>
      </c>
    </row>
    <row r="44" customFormat="false" ht="15" hidden="false" customHeight="false" outlineLevel="0" collapsed="false">
      <c r="A44" s="2" t="s">
        <v>218</v>
      </c>
    </row>
    <row r="45" customFormat="false" ht="15" hidden="false" customHeight="false" outlineLevel="0" collapsed="false">
      <c r="A45" s="15" t="s">
        <v>7</v>
      </c>
      <c r="B45" s="15" t="s">
        <v>219</v>
      </c>
    </row>
    <row r="46" customFormat="false" ht="15" hidden="false" customHeight="false" outlineLevel="0" collapsed="false">
      <c r="A46" s="16" t="s">
        <v>16</v>
      </c>
      <c r="B46" s="17" t="n">
        <f aca="false">COUNTIFS('Issue Register'!$F$5:$F$60,"Critical",'Issue Register'!$I$5:$I$60,"Open")</f>
        <v>0</v>
      </c>
    </row>
    <row r="47" customFormat="false" ht="15" hidden="false" customHeight="false" outlineLevel="0" collapsed="false">
      <c r="A47" s="16" t="s">
        <v>34</v>
      </c>
      <c r="B47" s="17" t="n">
        <f aca="false">COUNTIFS('Issue Register'!$F$5:$F$60,"High",'Issue Register'!$I$5:$I$60,"Open")</f>
        <v>2</v>
      </c>
    </row>
    <row r="48" customFormat="false" ht="15" hidden="false" customHeight="false" outlineLevel="0" collapsed="false">
      <c r="A48" s="16" t="s">
        <v>163</v>
      </c>
      <c r="B48" s="17" t="n">
        <f aca="false">COUNTIFS('Issue Register'!$F$5:$F$60,"Medium",'Issue Register'!$I$5:$I$60,"Open")</f>
        <v>6</v>
      </c>
    </row>
    <row r="49" customFormat="false" ht="15" hidden="false" customHeight="false" outlineLevel="0" collapsed="false">
      <c r="A49" s="16" t="s">
        <v>173</v>
      </c>
      <c r="B49" s="17" t="n">
        <f aca="false">COUNTIFS('Issue Register'!$F$5:$F$60,"Low",'Issue Register'!$I$5:$I$60,"Open")</f>
        <v>2</v>
      </c>
    </row>
    <row r="50" customFormat="false" ht="15" hidden="false" customHeight="false" outlineLevel="0" collapsed="false">
      <c r="A50" s="16" t="s">
        <v>41</v>
      </c>
      <c r="B50" s="17" t="n">
        <f aca="false">COUNTIFS('Issue Register'!$F$5:$F$60,"Suggestion",'Issue Register'!$I$5:$I$60,"Open")</f>
        <v>3</v>
      </c>
    </row>
    <row r="51" customFormat="false" ht="15" hidden="false" customHeight="false" outlineLevel="0" collapsed="false">
      <c r="A51" s="16" t="s">
        <v>178</v>
      </c>
      <c r="B51" s="17" t="n">
        <f aca="false">COUNTIFS('Issue Register'!$F$5:$F$60,"Action",'Issue Register'!$I$5:$I$60,"Open")</f>
        <v>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2026-08-12T02:35:50Z</dcterms:created>
  <dc:creator>openpyxl</dc:creator>
  <dc:description/>
  <dc:language>en-US</dc:language>
  <cp:lastModifiedBy/>
  <dcterms:modified xsi:type="dcterms:W3CDTF">2026-08-12T02:35:51Z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